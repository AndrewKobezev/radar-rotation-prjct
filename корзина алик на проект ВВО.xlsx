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obezevA\Desktop\"/>
    </mc:Choice>
  </mc:AlternateContent>
  <xr:revisionPtr revIDLastSave="0" documentId="13_ncr:1_{C23C9114-0C33-45F0-AB65-F30611E13C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8" i="1"/>
  <c r="E15" i="1"/>
</calcChain>
</file>

<file path=xl/sharedStrings.xml><?xml version="1.0" encoding="utf-8"?>
<sst xmlns="http://schemas.openxmlformats.org/spreadsheetml/2006/main" count="29" uniqueCount="29">
  <si>
    <t>Компонент</t>
  </si>
  <si>
    <t>Название + ссылка</t>
  </si>
  <si>
    <t>Мотор</t>
  </si>
  <si>
    <t>[12GA-N20/DC 3V/15rpm](https://aliexpress.ru/item/4001195504462.html?sku_id=12000050915181628&amp;spm=a2g2w.productlist.search_results.4.6b513142jFHrQK)</t>
  </si>
  <si>
    <t>Кол-во, шт</t>
  </si>
  <si>
    <t>Примерная стоимость, руб</t>
  </si>
  <si>
    <t>Ардуино</t>
  </si>
  <si>
    <t>Провода сигнальные</t>
  </si>
  <si>
    <t>Провод силовой</t>
  </si>
  <si>
    <t>Кондёр керамика 0.1 мкФ</t>
  </si>
  <si>
    <t>Кондёр электролит 470 мкФ</t>
  </si>
  <si>
    <t>Переключатель</t>
  </si>
  <si>
    <t>Бокс для батарей</t>
  </si>
  <si>
    <t>Понижайка</t>
  </si>
  <si>
    <t>Драйвер мотора</t>
  </si>
  <si>
    <t>Аккумуляторы 2 шт</t>
  </si>
  <si>
    <t>[DRV8833](https://aliexpress.ru/item/1005006983040834.html?sku_id=12000038938840341&amp;spm=a2g2w.productlist.search_results.1.2061687dVHRCE5)</t>
  </si>
  <si>
    <t>[два аккумулятора 18650](https://aliexpress.ru/item/1005009825939421.html?spm=a2g2w.cart.cart_split.14.3dea4aa67HUFB6&amp;sku_id=12000050290104838)</t>
  </si>
  <si>
    <t>[вот такой бокс](https://aliexpress.ru/item/1005002752229071.html?spm=a2g2w.cart.cart_split.10.3dea4aa67HUFB6&amp;sku_id=12000021965571394)</t>
  </si>
  <si>
    <t>[LM2596](https://aliexpress.ru/item/1005009287005847.html?spm=a2g2w.cart.cart_split.12.3dea4aa67HUFB6&amp;sku_id=12000048618359895)</t>
  </si>
  <si>
    <t>[Arduino Nano V3.0](https://aliexpress.ru/item/1005006773519913.html?spm=a2g2w.cart.cart_split.2.da564aa6lc5Gta&amp;sku_id=12000038256018928)</t>
  </si>
  <si>
    <t>[Dupont](https://aliexpress.ru/item/1005001621943322.html?spm=a2g2w.cart.cart_split.4.da564aa6lc5Gta&amp;sku_id=12000016846728384)</t>
  </si>
  <si>
    <t>[100nF 50V](https://aliexpress.ru/item/1_91432155.html?spm=a2g2w.cart.cart_split.10.da564aa6lc5Gta&amp;sku_id=5000000174034026)</t>
  </si>
  <si>
    <t>[470uF](https://aliexpress.ru/item/1005002075527957.html?spm=a2g2w.cart.cart_split.12.da564aa6lc5Gta&amp;sku_id=12000018654903097)</t>
  </si>
  <si>
    <t>[KCD11-101](https://aliexpress.ru/item/1005004124751042.html?spm=a2g2w.cart.cart_split.14.da564aa6lc5Gta&amp;sku_id=12000028117593060)</t>
  </si>
  <si>
    <t>[12 AWG](https://aliexpress.ru/item/1005006106389362.html?spm=a2g2w.cart.cart_split.2.48334aa6tyhPe2&amp;sku_id=12000035836360979)</t>
  </si>
  <si>
    <t>сумма</t>
  </si>
  <si>
    <t>доставка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</si>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</sst>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84F47-81AD-4312-BE46-3F044897B939}" name="Таблица1" displayName="Таблица1" ref="B2:E13" totalsRowShown="0">
  <autoFilter ref="B2:E13" xr:uid="{4FF84F47-81AD-4312-BE46-3F044897B939}"/>
  <tableColumns count="4">
    <tableColumn id="1" xr3:uid="{95038D74-BCFC-4656-BE0E-646B6DBFB413}" name="Компонент"/>
    <tableColumn id="2" xr3:uid="{010CC392-E2FA-4B89-A7A7-669A3EBB0711}" name="Кол-во, шт"/>
    <tableColumn id="3" xr3:uid="{1D1934C3-7CBA-4511-98CC-F5BFC0B4BC9B}" name="Название + ссылка"/>
    <tableColumn id="4" xr3:uid="{F4E6E652-1AC6-4225-B9A6-23E580505CBE}" name="Примерная стоимость, руб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2"/>
  <sheetViews>
    <sheetView tabSelected="1" workbookViewId="0">
      <selection activeCell="D22" sqref="D22"/>
    </sheetView>
  </sheetViews>
  <sheetFormatPr defaultRowHeight="15" x14ac:dyDescent="0.25"/>
  <cols>
    <col min="2" max="2" width="27.140625" bestFit="1" customWidth="1"/>
    <col min="3" max="3" width="12.85546875" customWidth="1"/>
    <col min="4" max="4" width="32.28515625" customWidth="1"/>
    <col min="5" max="5" width="27.5703125" customWidth="1"/>
  </cols>
  <sheetData>
    <row r="2" spans="2:5" x14ac:dyDescent="0.25">
      <c r="B2" t="s">
        <v>0</v>
      </c>
      <c r="C2" t="s">
        <v>4</v>
      </c>
      <c r="D2" t="s">
        <v>1</v>
      </c>
      <c r="E2" t="s">
        <v>5</v>
      </c>
    </row>
    <row r="3" spans="2:5" x14ac:dyDescent="0.25">
      <c r="B3" t="s">
        <v>2</v>
      </c>
      <c r="C3">
        <v>1</v>
      </c>
      <c r="D3" t="s">
        <v>3</v>
      </c>
      <c r="E3">
        <v>230</v>
      </c>
    </row>
    <row r="4" spans="2:5" x14ac:dyDescent="0.25">
      <c r="B4" t="s">
        <v>6</v>
      </c>
      <c r="C4">
        <v>1</v>
      </c>
      <c r="D4" t="s">
        <v>20</v>
      </c>
      <c r="E4">
        <v>166</v>
      </c>
    </row>
    <row r="5" spans="2:5" x14ac:dyDescent="0.25">
      <c r="B5" t="s">
        <v>7</v>
      </c>
      <c r="C5">
        <v>15</v>
      </c>
      <c r="D5" t="s">
        <v>21</v>
      </c>
      <c r="E5">
        <v>184</v>
      </c>
    </row>
    <row r="6" spans="2:5" x14ac:dyDescent="0.25">
      <c r="B6" t="s">
        <v>8</v>
      </c>
      <c r="C6">
        <v>1</v>
      </c>
      <c r="D6" t="s">
        <v>25</v>
      </c>
      <c r="E6">
        <v>220</v>
      </c>
    </row>
    <row r="7" spans="2:5" x14ac:dyDescent="0.25">
      <c r="B7" t="s">
        <v>9</v>
      </c>
      <c r="C7">
        <v>2</v>
      </c>
      <c r="D7" t="s">
        <v>22</v>
      </c>
      <c r="E7">
        <v>267.22000000000003</v>
      </c>
    </row>
    <row r="8" spans="2:5" x14ac:dyDescent="0.25">
      <c r="B8" t="s">
        <v>10</v>
      </c>
      <c r="C8">
        <v>1</v>
      </c>
      <c r="D8" t="s">
        <v>23</v>
      </c>
      <c r="E8">
        <v>156</v>
      </c>
    </row>
    <row r="9" spans="2:5" x14ac:dyDescent="0.25">
      <c r="B9" t="s">
        <v>11</v>
      </c>
      <c r="C9">
        <v>1</v>
      </c>
      <c r="D9" t="s">
        <v>24</v>
      </c>
      <c r="E9">
        <v>38</v>
      </c>
    </row>
    <row r="10" spans="2:5" x14ac:dyDescent="0.25">
      <c r="B10" t="s">
        <v>12</v>
      </c>
      <c r="C10">
        <v>1</v>
      </c>
      <c r="D10" t="s">
        <v>18</v>
      </c>
      <c r="E10">
        <v>59</v>
      </c>
    </row>
    <row r="11" spans="2:5" x14ac:dyDescent="0.25">
      <c r="B11" t="s">
        <v>15</v>
      </c>
      <c r="C11">
        <v>1</v>
      </c>
      <c r="D11" t="s">
        <v>17</v>
      </c>
      <c r="E11">
        <v>1039</v>
      </c>
    </row>
    <row r="12" spans="2:5" x14ac:dyDescent="0.25">
      <c r="B12" t="s">
        <v>13</v>
      </c>
      <c r="C12">
        <v>1</v>
      </c>
      <c r="D12" t="s">
        <v>19</v>
      </c>
      <c r="E12">
        <v>48</v>
      </c>
    </row>
    <row r="13" spans="2:5" x14ac:dyDescent="0.25">
      <c r="B13" t="s">
        <v>14</v>
      </c>
      <c r="C13">
        <v>1</v>
      </c>
      <c r="D13" t="s">
        <v>16</v>
      </c>
      <c r="E13">
        <v>184</v>
      </c>
    </row>
    <row r="14" spans="2:5" x14ac:dyDescent="0.25">
      <c r="C14" s="1"/>
    </row>
    <row r="15" spans="2:5" x14ac:dyDescent="0.25">
      <c r="B15" t="s">
        <v>26</v>
      </c>
      <c r="E15">
        <f>SUM(Таблица1[Примерная стоимость, руб])</f>
        <v>2591.2200000000003</v>
      </c>
    </row>
    <row r="16" spans="2:5" x14ac:dyDescent="0.25">
      <c r="B16" t="s">
        <v>27</v>
      </c>
      <c r="E16">
        <f>96+173+63+118+118+29+90</f>
        <v>687</v>
      </c>
    </row>
    <row r="18" spans="2:5" x14ac:dyDescent="0.25">
      <c r="B18" t="s">
        <v>28</v>
      </c>
      <c r="E18">
        <f>E15+E16</f>
        <v>3278.2200000000003</v>
      </c>
    </row>
    <row r="21" spans="2:5" x14ac:dyDescent="0.25">
      <c r="C21" s="1"/>
    </row>
    <row r="28" spans="2:5" x14ac:dyDescent="0.25">
      <c r="C28" s="1"/>
    </row>
    <row r="35" spans="3:3" x14ac:dyDescent="0.25">
      <c r="C35" s="1"/>
    </row>
    <row r="42" spans="3:3" x14ac:dyDescent="0.25">
      <c r="C4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Andrey Kobezev</cp:lastModifiedBy>
  <dcterms:created xsi:type="dcterms:W3CDTF">2015-06-05T18:19:34Z</dcterms:created>
  <dcterms:modified xsi:type="dcterms:W3CDTF">2026-03-11T12:50:42Z</dcterms:modified>
</cp:coreProperties>
</file>